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sheetId="2" state="visible" r:id="rId2"/>
    <sheet name="Summa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sz val="14"/>
    </font>
    <font>
      <name val="Arial"/>
      <sz val="11"/>
    </font>
    <font>
      <name val="Arial"/>
      <b val="1"/>
      <sz val="12"/>
    </font>
    <font>
      <name val="Arial"/>
      <i val="1"/>
      <sz val="11"/>
    </font>
    <font>
      <name val="Arial"/>
      <b val="1"/>
      <color rgb="00FFFFFF"/>
    </font>
    <font>
      <name val="Arial"/>
      <i val="1"/>
      <color rgb="007F7F7F"/>
    </font>
    <font>
      <name val="Arial"/>
      <sz val="10"/>
    </font>
    <font>
      <name val="Arial"/>
      <i val="1"/>
      <sz val="9"/>
    </font>
  </fonts>
  <fills count="5">
    <fill>
      <patternFill/>
    </fill>
    <fill>
      <patternFill patternType="gray125"/>
    </fill>
    <fill>
      <patternFill patternType="solid">
        <fgColor rgb="001F4E3D"/>
      </patternFill>
    </fill>
    <fill>
      <patternFill patternType="solid">
        <fgColor rgb="00F2F2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wrapText="1"/>
    </xf>
    <xf numFmtId="0" fontId="7" fillId="0" borderId="1" applyAlignment="1" pivotButton="0" quotePrefix="0" xfId="0">
      <alignment vertical="top" wrapText="1"/>
    </xf>
    <xf numFmtId="0" fontId="7" fillId="4" borderId="1" applyAlignment="1" pivotButton="0" quotePrefix="0" xfId="0">
      <alignment vertical="top" wrapText="1"/>
    </xf>
    <xf numFmtId="0" fontId="2" fillId="0" borderId="0" pivotButton="0" quotePrefix="0" xfId="0"/>
    <xf numFmtId="164" fontId="2"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Pharvel</author>
  </authors>
  <commentList>
    <comment ref="H2" authorId="0" shapeId="0">
      <text>
        <t>Choose Yes / No / Unsure from the drop-down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Pharvel — pharmacist / pharmacy instructor review</t>
        </is>
      </c>
    </row>
    <row r="2">
      <c r="A2" s="2" t="inlineStr">
        <is>
          <t>Thank you for helping. Pharvel is a free, non-commercial student project (Community College of Baltimore County) that shows what US FDA drug labels say about taking two medicines together. It does not give doses or advice.</t>
        </is>
      </c>
    </row>
    <row r="3">
      <c r="A3" s="3" t="inlineStr"/>
    </row>
    <row r="4">
      <c r="A4" s="4" t="inlineStr">
        <is>
          <t>What to do (about 1 hour)</t>
        </is>
      </c>
    </row>
    <row r="5">
      <c r="A5" s="2" t="inlineStr">
        <is>
          <t>1. Open the "Review" tab. Each row is one pair of medicines and exactly what Pharvel shows a user.</t>
        </is>
      </c>
    </row>
    <row r="6">
      <c r="A6" s="2" t="inlineStr">
        <is>
          <t>2. Fill in ONLY the yellow columns (H–K). Use the drop-down lists where shown.</t>
        </is>
      </c>
    </row>
    <row r="7">
      <c r="A7" s="2" t="inlineStr">
        <is>
          <t>3. Judge each pair from your own knowledge, as if a patient showed you this result. Expected answers are deliberately not shown.</t>
        </is>
      </c>
    </row>
    <row r="8">
      <c r="A8" s="2" t="inlineStr">
        <is>
          <t>4. Row 3 on the Review tab is a filled-in grey EXAMPLE showing the format; please start at row 4.</t>
        </is>
      </c>
    </row>
    <row r="9">
      <c r="A9" s="2" t="inlineStr">
        <is>
          <t>5. Save the file and email it back. Leave a cell blank if you are unsure — that is useful information too.</t>
        </is>
      </c>
    </row>
    <row r="10">
      <c r="A10" s="3" t="inlineStr"/>
    </row>
    <row r="11">
      <c r="A11" s="4" t="inlineStr">
        <is>
          <t>Columns to fill in</t>
        </is>
      </c>
    </row>
    <row r="12">
      <c r="A12" s="2" t="inlineStr">
        <is>
          <t>H  Is the severity right?  — Yes / No / Unsure</t>
        </is>
      </c>
    </row>
    <row r="13">
      <c r="A13" s="2" t="inlineStr">
        <is>
          <t>I  What should it be?  — Contraindicated / Serious / Moderate / Minor / No significant interaction (only if H = No)</t>
        </is>
      </c>
    </row>
    <row r="14">
      <c r="A14" s="2" t="inlineStr">
        <is>
          <t>J  Is the plain-language summary accurate and safe?  — Yes / No / Unsure</t>
        </is>
      </c>
    </row>
    <row r="15">
      <c r="A15" s="2" t="inlineStr">
        <is>
          <t>K  Notes  — anything wrong, missing or misleading</t>
        </is>
      </c>
    </row>
    <row r="16">
      <c r="A16" s="3" t="inlineStr"/>
    </row>
    <row r="17">
      <c r="A17" s="4" t="inlineStr">
        <is>
          <t>How Pharvel grades severity</t>
        </is>
      </c>
    </row>
    <row r="18">
      <c r="A18" s="2" t="inlineStr">
        <is>
          <t>"Contraindicated in label" = the pair appears in a contraindications section. "Serious warning in label" = a boxed warning or serious wording. "Interaction documented" = the label mentions the combination. "Class-level mention" = the label names the drug class, not the medicine. "Nothing found in these labels" = neither label mentions the other medicine or its class.</t>
        </is>
      </c>
    </row>
    <row r="19">
      <c r="A19" s="3" t="inlineStr"/>
    </row>
    <row r="20">
      <c r="A20" s="5" t="inlineStr">
        <is>
          <t>Your name will only be mentioned publicly if you agree. Contact: Oluwatoba S. Oyagbemi (CCBC student). Project: https://drugfacts.vercel.app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8" customWidth="1" min="3" max="3"/>
    <col width="52" customWidth="1" min="4" max="4"/>
    <col width="60" customWidth="1" min="5" max="5"/>
    <col width="34" customWidth="1" min="6" max="6"/>
    <col width="22" customWidth="1" min="7" max="7"/>
    <col width="14" customWidth="1" min="8" max="8"/>
    <col width="20" customWidth="1" min="9" max="9"/>
    <col width="16" customWidth="1" min="10" max="10"/>
    <col width="40" customWidth="1" min="11" max="11"/>
  </cols>
  <sheetData>
    <row r="1">
      <c r="A1" s="6" t="inlineStr">
        <is>
          <t>Review — fill in the yellow columns H to K only. Row 3 is an example.</t>
        </is>
      </c>
    </row>
    <row r="2">
      <c r="A2" s="7" t="inlineStr">
        <is>
          <t>#</t>
        </is>
      </c>
      <c r="B2" s="7" t="inlineStr">
        <is>
          <t>Medicines</t>
        </is>
      </c>
      <c r="C2" s="7" t="inlineStr">
        <is>
          <t>Pharvel severity</t>
        </is>
      </c>
      <c r="D2" s="7" t="inlineStr">
        <is>
          <t>What Pharvel says (plain-language summary)</t>
        </is>
      </c>
      <c r="E2" s="7" t="inlineStr">
        <is>
          <t>Label quote Pharvel shows</t>
        </is>
      </c>
      <c r="F2" s="7" t="inlineStr">
        <is>
          <t>Source</t>
        </is>
      </c>
      <c r="G2" s="7" t="inlineStr">
        <is>
          <t>Pair as typed</t>
        </is>
      </c>
      <c r="H2" s="7" t="inlineStr">
        <is>
          <t>Is the severity right?</t>
        </is>
      </c>
      <c r="I2" s="7" t="inlineStr">
        <is>
          <t>What should it be?</t>
        </is>
      </c>
      <c r="J2" s="7" t="inlineStr">
        <is>
          <t>Is the summary accurate and safe?</t>
        </is>
      </c>
      <c r="K2" s="7" t="inlineStr">
        <is>
          <t>Notes</t>
        </is>
      </c>
    </row>
    <row r="3">
      <c r="A3" s="8" t="inlineStr">
        <is>
          <t>Ex.</t>
        </is>
      </c>
      <c r="B3" s="8" t="inlineStr">
        <is>
          <t>Example A + Example B</t>
        </is>
      </c>
      <c r="C3" s="8" t="inlineStr">
        <is>
          <t>Interaction documented</t>
        </is>
      </c>
      <c r="D3" s="8" t="inlineStr">
        <is>
          <t>What can happen: Higher risk of bleeding when taken together.</t>
        </is>
      </c>
      <c r="E3" s="8" t="inlineStr">
        <is>
          <t>“…may increase the risk of bleeding.”</t>
        </is>
      </c>
      <c r="F3" s="8" t="inlineStr">
        <is>
          <t>Example label, Drug interactions</t>
        </is>
      </c>
      <c r="G3" s="8" t="inlineStr">
        <is>
          <t>example a and example b</t>
        </is>
      </c>
      <c r="H3" s="8" t="inlineStr">
        <is>
          <t>No</t>
        </is>
      </c>
      <c r="I3" s="8" t="inlineStr">
        <is>
          <t>Serious</t>
        </is>
      </c>
      <c r="J3" s="8" t="inlineStr">
        <is>
          <t>Yes</t>
        </is>
      </c>
      <c r="K3" s="8" t="inlineStr">
        <is>
          <t>Example only — I would rate this serious because both drugs affect clotting.</t>
        </is>
      </c>
    </row>
    <row r="4">
      <c r="A4" s="9" t="n">
        <v>1</v>
      </c>
      <c r="B4" s="9" t="inlineStr">
        <is>
          <t>Loratadine + Omeprazole</t>
        </is>
      </c>
      <c r="C4" s="9" t="inlineStr">
        <is>
          <t>Nothing found in these labels</t>
        </is>
      </c>
      <c r="D4"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E4" s="9" t="inlineStr">
        <is>
          <t>(no quote: nothing found)</t>
        </is>
      </c>
      <c r="F4"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G4" s="9" t="inlineStr">
        <is>
          <t>loratadine and omeprazole</t>
        </is>
      </c>
      <c r="H4" s="10" t="n"/>
      <c r="I4" s="10" t="n"/>
      <c r="J4" s="10" t="n"/>
      <c r="K4" s="10" t="n"/>
    </row>
    <row r="5">
      <c r="A5" s="9" t="n">
        <v>2</v>
      </c>
      <c r="B5" s="9" t="inlineStr">
        <is>
          <t>Rifampin + Warfarin</t>
        </is>
      </c>
      <c r="C5" s="9" t="inlineStr">
        <is>
          <t>Serious warning in label</t>
        </is>
      </c>
      <c r="D5" s="9" t="inlineStr">
        <is>
          <t>What can happen: One medicine can make the other less effective.
What the label advises: The label says not to use them together.
Why it happens: Rifampin speeds up the CYP2C9 enzyme, which the body uses to clear Warfarin.</t>
        </is>
      </c>
      <c r="E5" s="9" t="inlineStr">
        <is>
          <t>“Telaprevir Decrease AUC by 92% Systemic Hormonal Contraceptives Prevention or Management: Advise patients to change to non-hormonal methods of birth control during… to establish and maintain the required dose of anticoagulant Warfarin Decrease exposure…”</t>
        </is>
      </c>
      <c r="F5" s="9" t="inlineStr">
        <is>
          <t>Rifampin label, Drug interactions — https://dailymed.nlm.nih.gov/dailymed/drugInfo.cfm?setid=8be91604-d7cd-4f2b-997d-e3364e4092e5</t>
        </is>
      </c>
      <c r="G5" s="9" t="inlineStr">
        <is>
          <t>rifampin and warfarin</t>
        </is>
      </c>
      <c r="H5" s="10" t="n"/>
      <c r="I5" s="10" t="n"/>
      <c r="J5" s="10" t="n"/>
      <c r="K5" s="10" t="n"/>
    </row>
    <row r="6">
      <c r="A6" s="9" t="n">
        <v>3</v>
      </c>
      <c r="B6" s="9" t="inlineStr">
        <is>
          <t>Levothyroxine + Calcium Carbonate</t>
        </is>
      </c>
      <c r="C6" s="9" t="inlineStr">
        <is>
          <t>Interaction documented</t>
        </is>
      </c>
      <c r="D6" s="9" t="inlineStr">
        <is>
          <t>What can happen: One medicine can block the other from being absorbed; spacing the doses apart is usually advised.
What to do: Mention this combination to your pharmacist or prescriber; they can decide whether any change or monitoring is needed.</t>
        </is>
      </c>
      <c r="E6" s="9" t="inlineStr">
        <is>
          <t>“Drugs That May Decrease T4 Absorption (Hypothyroidism) Potential impact: Concurrent use may reduce the efficacy of levothyroxine sodium tablets by binding and delaying or… potentially resulting in hypothyroidism. Drug or Drug Class Effect Calcium Carbonate…”</t>
        </is>
      </c>
      <c r="F6" s="9" t="inlineStr">
        <is>
          <t>Levothyroxine label, Drug interactions — https://dailymed.nlm.nih.gov/dailymed/drugInfo.cfm?setid=0210a600-747e-433a-8ba9-11692ecfb54a</t>
        </is>
      </c>
      <c r="G6" s="9" t="inlineStr">
        <is>
          <t>levothyroxine and calcium carbonate</t>
        </is>
      </c>
      <c r="H6" s="10" t="n"/>
      <c r="I6" s="10" t="n"/>
      <c r="J6" s="10" t="n"/>
      <c r="K6" s="10" t="n"/>
    </row>
    <row r="7">
      <c r="A7" s="9" t="n">
        <v>4</v>
      </c>
      <c r="B7" s="9" t="inlineStr">
        <is>
          <t>Edoxaban + Ticagrelor</t>
        </is>
      </c>
      <c r="C7" s="9" t="inlineStr">
        <is>
          <t>Nothing found in these labels</t>
        </is>
      </c>
      <c r="D7"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E7" s="9" t="inlineStr">
        <is>
          <t>(no quote: nothing found)</t>
        </is>
      </c>
      <c r="F7"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G7" s="9" t="inlineStr">
        <is>
          <t>edoxaban and ticagrelor</t>
        </is>
      </c>
      <c r="H7" s="10" t="n"/>
      <c r="I7" s="10" t="n"/>
      <c r="J7" s="10" t="n"/>
      <c r="K7" s="10" t="n"/>
    </row>
    <row r="8">
      <c r="A8" s="9" t="n">
        <v>5</v>
      </c>
      <c r="B8" s="9" t="inlineStr">
        <is>
          <t>Amlodipine + Metformin</t>
        </is>
      </c>
      <c r="C8" s="9" t="inlineStr">
        <is>
          <t>Class-level mention</t>
        </is>
      </c>
      <c r="D8" s="9" t="inlineStr">
        <is>
          <t>What can happen: Blood sugar control may worsen. This warning names the drug class, not the medicine itself.
What the label advises: The label advises closer monitoring for side effects while both are taken.</t>
        </is>
      </c>
      <c r="E8" s="9" t="inlineStr">
        <is>
          <t>“Clinical Impact: Certain drugs tend to produce hyperglycemia and may lead to loss of glycemic control.… phenytoin, nicotinic acid, sympathomimetics, calcium channel blockers, and isoniazid.”</t>
        </is>
      </c>
      <c r="F8" s="9" t="inlineStr">
        <is>
          <t>Metformin label, Drug interactions — https://dailymed.nlm.nih.gov/dailymed/drugInfo.cfm?setid=05999192-ebc6-4198-bd1e-f46abbfb4f8a</t>
        </is>
      </c>
      <c r="G8" s="9" t="inlineStr">
        <is>
          <t>amlodipine and metformin</t>
        </is>
      </c>
      <c r="H8" s="10" t="n"/>
      <c r="I8" s="10" t="n"/>
      <c r="J8" s="10" t="n"/>
      <c r="K8" s="10" t="n"/>
    </row>
    <row r="9">
      <c r="A9" s="9" t="n">
        <v>6</v>
      </c>
      <c r="B9" s="9" t="inlineStr">
        <is>
          <t>St. John's Wort Extract + Sertraline</t>
        </is>
      </c>
      <c r="C9" s="9" t="inlineStr">
        <is>
          <t>Serious warning in label</t>
        </is>
      </c>
      <c r="D9" s="9" t="inlineStr">
        <is>
          <t>What can happen: Can cause serotonin syndrome, a serious reaction (agitation, fever, fast heartbeat).
What to do: Do not start, stop or change either medicine on your own. Ask a pharmacist or prescriber before taking them together.</t>
        </is>
      </c>
      <c r="E9" s="9" t="inlineStr">
        <is>
          <t>“Clinical Impact: The concomitant use of serotonergic drugs with sertraline hydrochloride increases the risk of… tryptophan, buspirone, amphetamines, and St. John's Wort.”</t>
        </is>
      </c>
      <c r="F9" s="9" t="inlineStr">
        <is>
          <t>Sertraline label, Drug interactions — https://dailymed.nlm.nih.gov/dailymed/drugInfo.cfm?setid=03e1f274-fa9a-4461-b7c9-31ba6428c107</t>
        </is>
      </c>
      <c r="G9" s="9" t="inlineStr">
        <is>
          <t>St John's wort and sertraline</t>
        </is>
      </c>
      <c r="H9" s="10" t="n"/>
      <c r="I9" s="10" t="n"/>
      <c r="J9" s="10" t="n"/>
      <c r="K9" s="10" t="n"/>
    </row>
    <row r="10">
      <c r="A10" s="9" t="n">
        <v>7</v>
      </c>
      <c r="B10" s="9" t="inlineStr">
        <is>
          <t>Metformin + Ethanol</t>
        </is>
      </c>
      <c r="C10" s="9" t="inlineStr">
        <is>
          <t>Serious warning in label</t>
        </is>
      </c>
      <c r="D10" s="9" t="inlineStr">
        <is>
          <t>What can happen: Raises the risk of lactic acidosis, a dangerous acid build-up in the blood. Can strain or damage the kidneys.
What to do: Do not start, stop or change either medicine on your own. Ask a pharmacist or prescriber before taking them together.</t>
        </is>
      </c>
      <c r="E10" s="9" t="inlineStr">
        <is>
          <t>“Risk factors for metformin-associated lactic acidosis include renal impairment, concomitant use of certain… acute congestive heart failure), excessive alcohol intake, and hepatic impairment.”</t>
        </is>
      </c>
      <c r="F10" s="9" t="inlineStr">
        <is>
          <t>Metformin label, Boxed warning — https://dailymed.nlm.nih.gov/dailymed/drugInfo.cfm?setid=05999192-ebc6-4198-bd1e-f46abbfb4f8a</t>
        </is>
      </c>
      <c r="G10" s="9" t="inlineStr">
        <is>
          <t>metformin and alcohol</t>
        </is>
      </c>
      <c r="H10" s="10" t="n"/>
      <c r="I10" s="10" t="n"/>
      <c r="J10" s="10" t="n"/>
      <c r="K10" s="10" t="n"/>
    </row>
    <row r="11">
      <c r="A11" s="9" t="n">
        <v>8</v>
      </c>
      <c r="B11" s="9" t="inlineStr">
        <is>
          <t>Lisinopril + Spironolactone</t>
        </is>
      </c>
      <c r="C11" s="9" t="inlineStr">
        <is>
          <t>Interaction documented</t>
        </is>
      </c>
      <c r="D11" s="9" t="inlineStr">
        <is>
          <t>What can happen: Can push blood potassium too high, which affects heart rhythm.
What to do: Mention this combination to your pharmacist or prescriber; they can decide whether any change or monitoring is needed.</t>
        </is>
      </c>
      <c r="E11" s="9" t="inlineStr">
        <is>
          <t>“Lisinopril attenuates potassium loss caused by thiazide-type diuretics. Potassium-sparing diuretics (spironolactone, amiloride, triamterene, and others) can increase the risk of hyperkalemia.”</t>
        </is>
      </c>
      <c r="F11" s="9" t="inlineStr">
        <is>
          <t>Lisinopril label, Drug interactions — https://dailymed.nlm.nih.gov/dailymed/drugInfo.cfm?setid=02c23f9c-f3cf-4366-ae1e-56296f1fedf9</t>
        </is>
      </c>
      <c r="G11" s="9" t="inlineStr">
        <is>
          <t>lisinopril and spironolactone</t>
        </is>
      </c>
      <c r="H11" s="10" t="n"/>
      <c r="I11" s="10" t="n"/>
      <c r="J11" s="10" t="n"/>
      <c r="K11" s="10" t="n"/>
    </row>
    <row r="12">
      <c r="A12" s="9" t="n">
        <v>9</v>
      </c>
      <c r="B12" s="9" t="inlineStr">
        <is>
          <t>Amoxicillin + Acetaminophen</t>
        </is>
      </c>
      <c r="C12" s="9" t="inlineStr">
        <is>
          <t>Nothing found in these labels</t>
        </is>
      </c>
      <c r="D12"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E12" s="9" t="inlineStr">
        <is>
          <t>(no quote: nothing found)</t>
        </is>
      </c>
      <c r="F12"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G12" s="9" t="inlineStr">
        <is>
          <t>amoxicillin and acetaminophen</t>
        </is>
      </c>
      <c r="H12" s="10" t="n"/>
      <c r="I12" s="10" t="n"/>
      <c r="J12" s="10" t="n"/>
      <c r="K12" s="10" t="n"/>
    </row>
    <row r="13">
      <c r="A13" s="9" t="n">
        <v>10</v>
      </c>
      <c r="B13" s="9" t="inlineStr">
        <is>
          <t>Clozapine + Azathioprine</t>
        </is>
      </c>
      <c r="C13" s="9" t="inlineStr">
        <is>
          <t>Nothing found in these labels</t>
        </is>
      </c>
      <c r="D13"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E13" s="9" t="inlineStr">
        <is>
          <t>(no quote: nothing found)</t>
        </is>
      </c>
      <c r="F13"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G13" s="9" t="inlineStr">
        <is>
          <t>clozapine and azathioprine</t>
        </is>
      </c>
      <c r="H13" s="10" t="n"/>
      <c r="I13" s="10" t="n"/>
      <c r="J13" s="10" t="n"/>
      <c r="K13" s="10" t="n"/>
    </row>
    <row r="14">
      <c r="A14" s="9" t="n">
        <v>11</v>
      </c>
      <c r="B14" s="9" t="inlineStr">
        <is>
          <t>Ciprofloxacin + Calcium Carbonate</t>
        </is>
      </c>
      <c r="C14" s="9" t="inlineStr">
        <is>
          <t>Class-level mention</t>
        </is>
      </c>
      <c r="D14" s="9" t="inlineStr">
        <is>
          <t>What can happen: One medicine can block the other from being absorbed; spacing the doses apart is usually advised. Closer monitoring is advised while both are taken. This warning names the drug class, not the medicine itself.
What the label advises: The label advises closer monitoring for side effects while both are taken.</t>
        </is>
      </c>
      <c r="E14" s="9" t="inlineStr">
        <is>
          <t>“Monitor serum creatinine ( 7 ) Multivalent cation- containing products including antacids, metal cations or didanosine Decreased ciprofloxacin absorption.”</t>
        </is>
      </c>
      <c r="F14" s="9" t="inlineStr">
        <is>
          <t>Ciprofloxacin label, Drug interactions — https://dailymed.nlm.nih.gov/dailymed/drugInfo.cfm?setid=0fe3becb-f90e-4187-a8e8-bd0de5a79ad2</t>
        </is>
      </c>
      <c r="G14" s="9" t="inlineStr">
        <is>
          <t>ciprofloxacin and calcium carbonate</t>
        </is>
      </c>
      <c r="H14" s="10" t="n"/>
      <c r="I14" s="10" t="n"/>
      <c r="J14" s="10" t="n"/>
      <c r="K14" s="10" t="n"/>
    </row>
    <row r="15">
      <c r="A15" s="9" t="n">
        <v>12</v>
      </c>
      <c r="B15" s="9" t="inlineStr">
        <is>
          <t>Acetaminophen + Loratadine</t>
        </is>
      </c>
      <c r="C15" s="9" t="inlineStr">
        <is>
          <t>Nothing found in these labels</t>
        </is>
      </c>
      <c r="D15"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E15" s="9" t="inlineStr">
        <is>
          <t>(no quote: nothing found)</t>
        </is>
      </c>
      <c r="F15"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G15" s="9" t="inlineStr">
        <is>
          <t>Tylenol and Claritin</t>
        </is>
      </c>
      <c r="H15" s="10" t="n"/>
      <c r="I15" s="10" t="n"/>
      <c r="J15" s="10" t="n"/>
      <c r="K15" s="10" t="n"/>
    </row>
    <row r="16">
      <c r="A16" s="9" t="n">
        <v>13</v>
      </c>
      <c r="B16" s="9" t="inlineStr">
        <is>
          <t>Warfarin + Ibuprofen</t>
        </is>
      </c>
      <c r="C16" s="9" t="inlineStr">
        <is>
          <t>Serious warning in label</t>
        </is>
      </c>
      <c r="D16" s="9" t="inlineStr">
        <is>
          <t>What can happen: Higher risk of bleeding when taken together. The effects add together, so side effects are stronger.
What to do: Do not start, stop or change either medicine on your own. Ask a pharmacist or prescriber before taking them together.</t>
        </is>
      </c>
      <c r="E16" s="9" t="inlineStr">
        <is>
          <t>“However, because bleeding has been reported when Ibuprofen tablets and other NSAIDs have been administered to patients on coumarin-type anticoagulants, the physician… Ibuprofen tablets to patients on anticoagulants. The effects of warfarin and NSAIDs on GI bleeding are synergistic, such that the users of both drugs together have a risk of serious GI bleeding higher than users of either drug alone.”</t>
        </is>
      </c>
      <c r="F16" s="9" t="inlineStr">
        <is>
          <t>Ibuprofen label, Drug interactions — https://dailymed.nlm.nih.gov/dailymed/drugInfo.cfm?setid=0170876a-d8cd-4a2d-8397-db2acdf72ffb</t>
        </is>
      </c>
      <c r="G16" s="9" t="inlineStr">
        <is>
          <t>warfarin and ibuprofen</t>
        </is>
      </c>
      <c r="H16" s="10" t="n"/>
      <c r="I16" s="10" t="n"/>
      <c r="J16" s="10" t="n"/>
      <c r="K16" s="10" t="n"/>
    </row>
    <row r="17">
      <c r="A17" s="9" t="n">
        <v>14</v>
      </c>
      <c r="B17" s="9" t="inlineStr">
        <is>
          <t>Escitalopram + Ibuprofen</t>
        </is>
      </c>
      <c r="C17" s="9" t="inlineStr">
        <is>
          <t>Serious warning in label</t>
        </is>
      </c>
      <c r="D17" s="9" t="inlineStr">
        <is>
          <t>What can happen: Can cause serotonin syndrome, a serious reaction (agitation, fever, fast heartbeat). This warning names the drug class, not the medicine itself.
What to do: Do not start, stop or change either medicine on your own. Ask a pharmacist or prescriber before taking them together.</t>
        </is>
      </c>
      <c r="E17" s="9" t="inlineStr">
        <is>
          <t>“Clinical Impact: Concomitant use of escitalopram oxalate and other serotonergic drugs (including other SSRIs, SNRIs, triptans, tricyclic antidepressants, opioids,… and Precautions (5.2) ] . Drugs That Interfere With Hemostasis (NSAIDs, Aspirin, Warfarin, etc.)…”</t>
        </is>
      </c>
      <c r="F17" s="9" t="inlineStr">
        <is>
          <t>Escitalopram label, Drug interactions — https://dailymed.nlm.nih.gov/dailymed/drugInfo.cfm?setid=09945404-e4cf-6269-e063-6294a90a5b8d</t>
        </is>
      </c>
      <c r="G17" s="9" t="inlineStr">
        <is>
          <t>escitalopram and ibuprofen</t>
        </is>
      </c>
      <c r="H17" s="10" t="n"/>
      <c r="I17" s="10" t="n"/>
      <c r="J17" s="10" t="n"/>
      <c r="K17" s="10" t="n"/>
    </row>
    <row r="18">
      <c r="A18" s="9" t="n">
        <v>15</v>
      </c>
      <c r="B18" s="9" t="inlineStr">
        <is>
          <t>Buspirone + Codeine</t>
        </is>
      </c>
      <c r="C18" s="9" t="inlineStr">
        <is>
          <t>Serious warning in label</t>
        </is>
      </c>
      <c r="D18" s="9" t="inlineStr">
        <is>
          <t>What can happen: Can cause serotonin syndrome, a serious reaction (agitation, fever, fast heartbeat). Extra drowsiness and dizziness; be careful driving. This warning names the drug class, not the medicine itself.
What to do: Do not start, stop or change either medicine on your own. Ask a pharmacist or prescriber before taking them together.</t>
        </is>
      </c>
      <c r="E18" s="9" t="inlineStr">
        <is>
          <t>“Examples: Benzodiazepines and other sedatives/hypnotics, anxiolytics, tranquilizers, muscle relaxants, general anesthetics, antipsychotics, gabapentinoids (gabapentin or pregabalin), other opioids, alcohol. Serotonergic Drugs…”</t>
        </is>
      </c>
      <c r="F18" s="9" t="inlineStr">
        <is>
          <t>Codeine label, Drug interactions — https://dailymed.nlm.nih.gov/dailymed/drugInfo.cfm?setid=010905f9-3bcb-4b50-9fe8-a3ad0010f14c</t>
        </is>
      </c>
      <c r="G18" s="9" t="inlineStr">
        <is>
          <t>buspirone and codeine</t>
        </is>
      </c>
      <c r="H18" s="10" t="n"/>
      <c r="I18" s="10" t="n"/>
      <c r="J18" s="10" t="n"/>
      <c r="K18" s="10" t="n"/>
    </row>
    <row r="19">
      <c r="A19" s="9" t="n">
        <v>16</v>
      </c>
      <c r="B19" s="9" t="inlineStr">
        <is>
          <t>Atorvastatin + Clarithromycin</t>
        </is>
      </c>
      <c r="C19" s="9" t="inlineStr">
        <is>
          <t>Serious warning in label</t>
        </is>
      </c>
      <c r="D19" s="9" t="inlineStr">
        <is>
          <t>What can happen: The label warns about using these together; see the quoted passage for the exact wording.
What the label advises: The label advises a lower or capped dose of one of them; any change is decided by a prescriber.
Why it happens: Clarithromycin strongly blocks the CYP3A enzyme, which the body uses to clear Atorvastatin.</t>
        </is>
      </c>
      <c r="E19" s="9" t="inlineStr">
        <is>
          <t>“In situations where the concomitant use of clarithromycin with atorvastatin or pravastatin cannot be avoided, atorvastatin dose should not exceed 20 mg daily and pravastatin dose should not exceed 40 mg daily.”</t>
        </is>
      </c>
      <c r="F19" s="9" t="inlineStr">
        <is>
          <t>Clarithromycin label, Warnings and precautions — https://dailymed.nlm.nih.gov/dailymed/drugInfo.cfm?setid=1920f943-bbf1-cfd9-7475-96a35680a9e0</t>
        </is>
      </c>
      <c r="G19" s="9" t="inlineStr">
        <is>
          <t>atorvastatin and clarithromycin</t>
        </is>
      </c>
      <c r="H19" s="10" t="n"/>
      <c r="I19" s="10" t="n"/>
      <c r="J19" s="10" t="n"/>
      <c r="K19" s="10" t="n"/>
    </row>
    <row r="20">
      <c r="A20" s="9" t="n">
        <v>17</v>
      </c>
      <c r="B20" s="9" t="inlineStr">
        <is>
          <t>Oxycodone + Alprazolam</t>
        </is>
      </c>
      <c r="C20" s="9" t="inlineStr">
        <is>
          <t>Serious warning in label</t>
        </is>
      </c>
      <c r="D20" s="9" t="inlineStr">
        <is>
          <t>What can happen: Closer monitoring is advised while both are taken.
What the label advises: The label advises closer monitoring for side effects while both are taken.</t>
        </is>
      </c>
      <c r="E20" s="9" t="inlineStr">
        <is>
          <t>“Prevention or management Limit dosage and duration of concomitant use of alprazolam and opioids, and monitor… buprenorphine, hydromorphone, oxymorphone, oxycodone…”</t>
        </is>
      </c>
      <c r="F20" s="9" t="inlineStr">
        <is>
          <t>Alprazolam label, Drug interactions — https://dailymed.nlm.nih.gov/dailymed/drugInfo.cfm?setid=0cf8b567-201b-44fa-8fd3-c74023aff44f</t>
        </is>
      </c>
      <c r="G20" s="9" t="inlineStr">
        <is>
          <t>oxycodone and alprazolam</t>
        </is>
      </c>
      <c r="H20" s="10" t="n"/>
      <c r="I20" s="10" t="n"/>
      <c r="J20" s="10" t="n"/>
      <c r="K20" s="10" t="n"/>
    </row>
    <row r="21">
      <c r="A21" s="9" t="n">
        <v>18</v>
      </c>
      <c r="B21" s="9" t="inlineStr">
        <is>
          <t>Omeprazole + Clarithromycin</t>
        </is>
      </c>
      <c r="C21" s="9" t="inlineStr">
        <is>
          <t>Contraindicated in label</t>
        </is>
      </c>
      <c r="D21" s="9" t="inlineStr">
        <is>
          <t>What can happen: The label warns about using these together; see the quoted passage for the exact wording.
What the label advises: The label says not to use them together.</t>
        </is>
      </c>
      <c r="E21" s="9" t="inlineStr">
        <is>
          <t>“• Proton pump inhibitors (PPIs), including omeprazole, are contraindicated in patients receiving rilpivirine-containing products [see Drug Interactions (7) ]. • For information about contraindications of antibacterial agents (clarithromycin and amoxicillin) indicated in combination with omeprazole, refer to the CONTRAINDICATIONS section of their package inserts.”</t>
        </is>
      </c>
      <c r="F21" s="9" t="inlineStr">
        <is>
          <t>Omeprazole label, Contraindications — https://dailymed.nlm.nih.gov/dailymed/drugInfo.cfm?setid=062800b1-790a-41c3-a8be-94143d2c7fb6</t>
        </is>
      </c>
      <c r="G21" s="9" t="inlineStr">
        <is>
          <t>omeprazole and clarithromycin</t>
        </is>
      </c>
      <c r="H21" s="10" t="n"/>
      <c r="I21" s="10" t="n"/>
      <c r="J21" s="10" t="n"/>
      <c r="K21" s="10" t="n"/>
    </row>
    <row r="22">
      <c r="A22" s="9" t="n">
        <v>19</v>
      </c>
      <c r="B22" s="9" t="inlineStr">
        <is>
          <t>Spironolactone + Potassium Chloride</t>
        </is>
      </c>
      <c r="C22" s="9" t="inlineStr">
        <is>
          <t>Serious warning in label</t>
        </is>
      </c>
      <c r="D22" s="9" t="inlineStr">
        <is>
          <t>What can happen: The label warns about using these together; see the quoted passage for the exact wording.
What the label advises: The label says not to use them together.</t>
        </is>
      </c>
      <c r="E22" s="9" t="inlineStr">
        <is>
          <t>“Avoid concomitant use [see Contraindications (4) ] . 7.2 Renin-Angiotensin-Aldosterone System Inhibitors Drugs… angiotensin receptor blockers (ARBs), spironolactone…”</t>
        </is>
      </c>
      <c r="F22" s="9" t="inlineStr">
        <is>
          <t>Potassium Chloride label, Drug interactions — https://dailymed.nlm.nih.gov/dailymed/drugInfo.cfm?setid=02707146-331f-4511-a187-0152fc8bca85</t>
        </is>
      </c>
      <c r="G22" s="9" t="inlineStr">
        <is>
          <t>spironolactone and potassium chloride</t>
        </is>
      </c>
      <c r="H22" s="10" t="n"/>
      <c r="I22" s="10" t="n"/>
      <c r="J22" s="10" t="n"/>
      <c r="K22" s="10" t="n"/>
    </row>
    <row r="23">
      <c r="A23" s="9" t="n">
        <v>20</v>
      </c>
      <c r="B23" s="9" t="inlineStr">
        <is>
          <t>Aspirin + Furosemide</t>
        </is>
      </c>
      <c r="C23" s="9" t="inlineStr">
        <is>
          <t>Serious warning in label</t>
        </is>
      </c>
      <c r="D23" s="9" t="inlineStr">
        <is>
          <t>What can happen: The label warns about using these together; see the quoted passage for the exact wording.
What the label advises: The label says not to use them together.</t>
        </is>
      </c>
      <c r="E23" s="9" t="inlineStr">
        <is>
          <t>“Furosemide should not be used concomitantly with ethacrynic acid because of the possibility of ototoxicity. Patients receiving high doses of salicylates concomitantly with furosemide, as in rheumatic diseases, may experience salicylate toxicity at lower doses because of competitive renal excretory sites.”</t>
        </is>
      </c>
      <c r="F23" s="9" t="inlineStr">
        <is>
          <t>Furosemide label, Drug interactions — https://dailymed.nlm.nih.gov/dailymed/drugInfo.cfm?setid=0aab9759-ee48-d1d3-e063-6394a90a2741</t>
        </is>
      </c>
      <c r="G23" s="9" t="inlineStr">
        <is>
          <t>aspirin and furosemide</t>
        </is>
      </c>
      <c r="H23" s="10" t="n"/>
      <c r="I23" s="10" t="n"/>
      <c r="J23" s="10" t="n"/>
      <c r="K23" s="10" t="n"/>
    </row>
    <row r="24">
      <c r="A24" s="9" t="n">
        <v>21</v>
      </c>
      <c r="B24" s="9" t="inlineStr">
        <is>
          <t>Warfarin + Clopidogrel</t>
        </is>
      </c>
      <c r="C24" s="9" t="inlineStr">
        <is>
          <t>Interaction documented</t>
        </is>
      </c>
      <c r="D24" s="9" t="inlineStr">
        <is>
          <t>What can happen: Higher risk of bleeding when taken together.
What to do: Mention this combination to your pharmacist or prescriber; they can decide whether any change or monitoring is needed.</t>
        </is>
      </c>
      <c r="E24" s="9" t="inlineStr">
        <is>
          <t>“Consider use of parenteral antiplatelet agent. ( 7.3 ) Nonsteroidal anti-inflammatory drugs (NSAIDs), warfarin, selective serotonin and serotonin norepinephrine reuptake inhibitors (SSRIs, SNRIs): Increases risk of bleeding.”</t>
        </is>
      </c>
      <c r="F24" s="9" t="inlineStr">
        <is>
          <t>Clopidogrel label, Drug interactions — https://dailymed.nlm.nih.gov/dailymed/drugInfo.cfm?setid=1447a095-c663-4f05-91d4-f09bfc0c3d42</t>
        </is>
      </c>
      <c r="G24" s="9" t="inlineStr">
        <is>
          <t>warfarin and clopidogrel</t>
        </is>
      </c>
      <c r="H24" s="10" t="n"/>
      <c r="I24" s="10" t="n"/>
      <c r="J24" s="10" t="n"/>
      <c r="K24" s="10" t="n"/>
    </row>
    <row r="25">
      <c r="A25" s="9" t="n">
        <v>22</v>
      </c>
      <c r="B25" s="9" t="inlineStr">
        <is>
          <t>Warfarin + Aspirin</t>
        </is>
      </c>
      <c r="C25" s="9" t="inlineStr">
        <is>
          <t>Interaction documented</t>
        </is>
      </c>
      <c r="D25" s="9" t="inlineStr">
        <is>
          <t>What can happen: Higher risk of bleeding when taken together.
What the label advises: The label advises checking INR (how fast the blood clots) more often.</t>
        </is>
      </c>
      <c r="E25" s="9" t="inlineStr">
        <is>
          <t>“Table 3: Drugs that Can Increase the Risk of Bleeding Drug Class Specific Drugs Anticoagulants argatroban,… heparin, lepirudin Antiplatelet Agents aspirin…”</t>
        </is>
      </c>
      <c r="F25" s="9" t="inlineStr">
        <is>
          <t>Warfarin label, Drug interactions — https://dailymed.nlm.nih.gov/dailymed/drugInfo.cfm?setid=2fb8b8d5-f643-4069-8e47-5eae31a8fbc8</t>
        </is>
      </c>
      <c r="G25" s="9" t="inlineStr">
        <is>
          <t>warfarin and aspirin</t>
        </is>
      </c>
      <c r="H25" s="10" t="n"/>
      <c r="I25" s="10" t="n"/>
      <c r="J25" s="10" t="n"/>
      <c r="K25" s="10" t="n"/>
    </row>
    <row r="26">
      <c r="A26" s="9" t="n">
        <v>23</v>
      </c>
      <c r="B26" s="9" t="inlineStr">
        <is>
          <t>Simvastatin + Clarithromycin</t>
        </is>
      </c>
      <c r="C26" s="9" t="inlineStr">
        <is>
          <t>Contraindicated in label</t>
        </is>
      </c>
      <c r="D26" s="9" t="inlineStr">
        <is>
          <t>What can happen: Raises the risk of muscle damage.
What the label advises: The label says not to use them together.
Why it happens: Clarithromycin strongly blocks the CYP3A enzyme, which the body uses to clear Simvastatin.</t>
        </is>
      </c>
      <c r="E26" s="9" t="inlineStr">
        <is>
          <t>“Concomitant administration of clarithromycin tablets with HMG-CoA reductase inhibitors (statins) that are extensively metabolized by CYP3A4 (lovastatin or simvastatin) is contraindicated, due to the increased risk of myopathy, including rhabdomyolysis [see Warnings and Precautions (5.4) and Drug Interactions (7)].”</t>
        </is>
      </c>
      <c r="F26" s="9" t="inlineStr">
        <is>
          <t>Clarithromycin label, Contraindications — https://dailymed.nlm.nih.gov/dailymed/drugInfo.cfm?setid=1920f943-bbf1-cfd9-7475-96a35680a9e0</t>
        </is>
      </c>
      <c r="G26" s="9" t="inlineStr">
        <is>
          <t>simvastatin and clarithromycin</t>
        </is>
      </c>
      <c r="H26" s="10" t="n"/>
      <c r="I26" s="10" t="n"/>
      <c r="J26" s="10" t="n"/>
      <c r="K26" s="10" t="n"/>
    </row>
    <row r="27">
      <c r="A27" s="9" t="n">
        <v>24</v>
      </c>
      <c r="B27" s="9" t="inlineStr">
        <is>
          <t>Fluoxetine + Tramadol</t>
        </is>
      </c>
      <c r="C27" s="9" t="inlineStr">
        <is>
          <t>Serious warning in label</t>
        </is>
      </c>
      <c r="D27" s="9" t="inlineStr">
        <is>
          <t>What can happen: Added drowsiness and dangerously slowed breathing. Raises the risk of seizures.
What to do: Do not start, stop or change either medicine on your own. Ask a pharmacist or prescriber before taking them together.
Why it happens: Fluoxetine strongly blocks the CYP2D6 enzyme, which the body uses to clear Tramadol.</t>
        </is>
      </c>
      <c r="E27" s="9" t="inlineStr">
        <is>
          <t>“Intervention: If concomitant use of a CYP2D6 inhibitor is necessary, evaluate patients at frequent intervals for adverse reactions including opioid withdrawal, seizures,… including respiratory depression and sedation. Examples Quinidine, fluoxetine, paroxetine and bupropion Inhibitors of CYP3A4…”</t>
        </is>
      </c>
      <c r="F27" s="9" t="inlineStr">
        <is>
          <t>Tramadol label, Drug interactions — https://dailymed.nlm.nih.gov/dailymed/drugInfo.cfm?setid=16053b28-c759-4914-93e6-2de0afe72445</t>
        </is>
      </c>
      <c r="G27" s="9" t="inlineStr">
        <is>
          <t>fluoxetine and tramadol</t>
        </is>
      </c>
      <c r="H27" s="10" t="n"/>
      <c r="I27" s="10" t="n"/>
      <c r="J27" s="10" t="n"/>
      <c r="K27" s="10" t="n"/>
    </row>
    <row r="28">
      <c r="A28" s="9" t="n">
        <v>25</v>
      </c>
      <c r="B28" s="9" t="inlineStr">
        <is>
          <t>Cilostazol + Moxifloxacin</t>
        </is>
      </c>
      <c r="C28" s="9" t="inlineStr">
        <is>
          <t>Nothing found in these labels</t>
        </is>
      </c>
      <c r="D28"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E28" s="9" t="inlineStr">
        <is>
          <t>(no quote: nothing found)</t>
        </is>
      </c>
      <c r="F28" s="9" t="inlineStr">
        <is>
          <t>Neither FDA label mentions the other medicine or its drug class in its contraindication, warning or interaction sections. Labels are not complete lists of interactions, and supplements, herbal products and foods are not covered, so this is not proof the pair is safe. Ask a pharmacist.</t>
        </is>
      </c>
      <c r="G28" s="9" t="inlineStr">
        <is>
          <t>cilostazol and moxifloxacin</t>
        </is>
      </c>
      <c r="H28" s="10" t="n"/>
      <c r="I28" s="10" t="n"/>
      <c r="J28" s="10" t="n"/>
      <c r="K28" s="10" t="n"/>
    </row>
  </sheetData>
  <dataValidations count="2">
    <dataValidation sqref="H4:H28 J4:J28" showDropDown="0" showInputMessage="0" showErrorMessage="0" allowBlank="1" type="list">
      <formula1>"Yes,No,Unsure"</formula1>
    </dataValidation>
    <dataValidation sqref="I4:I28" showDropDown="0" showInputMessage="0" showErrorMessage="0" allowBlank="1" type="list">
      <formula1>"Contraindicated,Serious,Moderate,Minor,No significant interaction"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4" customWidth="1" min="1" max="1"/>
    <col width="14" customWidth="1" min="2" max="2"/>
  </cols>
  <sheetData>
    <row r="1">
      <c r="A1" s="6" t="inlineStr">
        <is>
          <t>Progress (fills in automatically)</t>
        </is>
      </c>
    </row>
    <row r="2">
      <c r="A2" s="11" t="inlineStr">
        <is>
          <t>Pairs to review</t>
        </is>
      </c>
      <c r="B2" s="11">
        <f>COUNTA(Review!$B$4:$B$28)</f>
        <v/>
      </c>
    </row>
    <row r="3">
      <c r="A3" s="11" t="inlineStr">
        <is>
          <t>Severity answered</t>
        </is>
      </c>
      <c r="B3" s="11">
        <f>COUNTA(Review!$H$4:$H$28)</f>
        <v/>
      </c>
    </row>
    <row r="4">
      <c r="A4" s="11" t="inlineStr">
        <is>
          <t>Severity right (Yes)</t>
        </is>
      </c>
      <c r="B4" s="11">
        <f>COUNTIF(Review!$H$4:$H$28,"Yes")</f>
        <v/>
      </c>
    </row>
    <row r="5">
      <c r="A5" s="11" t="inlineStr">
        <is>
          <t>Severity wrong (No)</t>
        </is>
      </c>
      <c r="B5" s="11">
        <f>COUNTIF(Review!$H$4:$H$28,"No")</f>
        <v/>
      </c>
    </row>
    <row r="6">
      <c r="A6" s="11" t="inlineStr">
        <is>
          <t>Severity unsure</t>
        </is>
      </c>
      <c r="B6" s="11">
        <f>COUNTIF(Review!$H$4:$H$28,"Unsure")</f>
        <v/>
      </c>
    </row>
    <row r="7">
      <c r="A7" s="11" t="inlineStr">
        <is>
          <t>Summary accurate (Yes)</t>
        </is>
      </c>
      <c r="B7" s="11">
        <f>COUNTIF(Review!$J$4:$J$28,"Yes")</f>
        <v/>
      </c>
    </row>
    <row r="8">
      <c r="A8" s="11" t="inlineStr">
        <is>
          <t>Summary not accurate (No)</t>
        </is>
      </c>
      <c r="B8" s="11">
        <f>COUNTIF(Review!$J$4:$J$28,"No")</f>
        <v/>
      </c>
    </row>
    <row r="9">
      <c r="A9" s="11" t="inlineStr">
        <is>
          <t>Share of answered severities judged right</t>
        </is>
      </c>
      <c r="B9" s="12">
        <f>IF(B3=0,"-",B4/B3)</f>
        <v/>
      </c>
    </row>
    <row r="11">
      <c r="A11" s="13" t="inlineStr">
        <is>
          <t>Formulas count the yellow columns on the Review tab (rows 4 onward); the grey example row is 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2026-10-17T05:24:39Z</dcterms:created>
  <dcterms:modified xsi:type="dcterms:W3CDTF">2026-10-17T05:24:39Z</dcterms:modified>
</cp:coreProperties>
</file>